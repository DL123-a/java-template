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77617e76e2034d8/Documentos/"/>
    </mc:Choice>
  </mc:AlternateContent>
  <xr:revisionPtr revIDLastSave="0" documentId="8_{D6B62DFC-DB5F-4CD9-BB10-501E32781726}" xr6:coauthVersionLast="47" xr6:coauthVersionMax="47" xr10:uidLastSave="{00000000-0000-0000-0000-000000000000}"/>
  <bookViews>
    <workbookView xWindow="-120" yWindow="-120" windowWidth="29040" windowHeight="15720" xr2:uid="{145C364E-D766-4916-9D47-FF55E781B49D}"/>
  </bookViews>
  <sheets>
    <sheet name="size,bubble,quick,merge,radix" sheetId="2" r:id="rId1"/>
  </sheets>
  <definedNames>
    <definedName name="DatosExternos_1" localSheetId="0" hidden="1">'size,bubble,quick,merge,radix'!$A$1:$E$7</definedName>
    <definedName name="DatosExternos_2" localSheetId="0" hidden="1">'size,bubble,quick,merge,radix'!$A$9:$E$15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2" l="1"/>
  <c r="H3" i="2"/>
  <c r="H4" i="2"/>
  <c r="H5" i="2"/>
  <c r="H6" i="2"/>
  <c r="H7" i="2"/>
  <c r="G2" i="2"/>
  <c r="G3" i="2"/>
  <c r="G4" i="2"/>
  <c r="G5" i="2"/>
  <c r="G6" i="2"/>
  <c r="G7" i="2"/>
  <c r="F2" i="2"/>
  <c r="F3" i="2"/>
  <c r="F4" i="2"/>
  <c r="F5" i="2"/>
  <c r="F6" i="2"/>
  <c r="F7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6B9BB92-2B4F-46CF-9EA1-0C02A0DA4F00}" keepAlive="1" name="Consulta - size,bubble,quick,merge,radix" description="Conexión a la consulta 'size,bubble,quick,merge,radix' en el libro." type="5" refreshedVersion="8" background="1" saveData="1">
    <dbPr connection="Provider=Microsoft.Mashup.OleDb.1;Data Source=$Workbook$;Location=size,bubble,quick,merge,radix;Extended Properties=&quot;&quot;" command="SELECT * FROM [size,bubble,quick,merge,radix]"/>
  </connection>
  <connection id="2" xr16:uid="{47E0C03F-03C0-4F86-9642-91FBF75C0423}" keepAlive="1" name="Consulta - size,bubble,quick,merge,radix (2)" description="Conexión a la consulta 'size,bubble,quick,merge,radix (2)' en el libro." type="5" refreshedVersion="0" background="1">
    <dbPr connection="Provider=Microsoft.Mashup.OleDb.1;Data Source=$Workbook$;Location=&quot;size,bubble,quick,merge,radix (2)&quot;;Extended Properties=&quot;&quot;" command="SELECT * FROM [size,bubble,quick,merge,radix (2)]"/>
  </connection>
  <connection id="3" xr16:uid="{582D2522-F94D-404D-808E-CB39EFF7666D}" keepAlive="1" name="Consulta - size,bubble,quick,merge,radix (3)" description="Conexión a la consulta 'size,bubble,quick,merge,radix (3)' en el libro." type="5" refreshedVersion="8" background="1" saveData="1">
    <dbPr connection="Provider=Microsoft.Mashup.OleDb.1;Data Source=$Workbook$;Location=&quot;size,bubble,quick,merge,radix (3)&quot;;Extended Properties=&quot;&quot;" command="SELECT * FROM [size,bubble,quick,merge,radix (3)]"/>
  </connection>
</connections>
</file>

<file path=xl/sharedStrings.xml><?xml version="1.0" encoding="utf-8"?>
<sst xmlns="http://schemas.openxmlformats.org/spreadsheetml/2006/main" count="16" uniqueCount="8">
  <si>
    <t>size</t>
  </si>
  <si>
    <t>bubble</t>
  </si>
  <si>
    <t>quick</t>
  </si>
  <si>
    <t>merge</t>
  </si>
  <si>
    <t>radix</t>
  </si>
  <si>
    <t>o(n^2)</t>
  </si>
  <si>
    <t>O(n log n)</t>
  </si>
  <si>
    <t>O(n)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</si>
</sst>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GT"/>
              <a:t>No</a:t>
            </a:r>
            <a:r>
              <a:rPr lang="es-GT" baseline="0"/>
              <a:t> ordenados</a:t>
            </a:r>
            <a:endParaRPr lang="es-G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GT"/>
        </a:p>
      </c:txPr>
    </c:title>
    <c:autoTitleDeleted val="0"/>
    <c:plotArea>
      <c:layout>
        <c:manualLayout>
          <c:layoutTarget val="inner"/>
          <c:xMode val="edge"/>
          <c:yMode val="edge"/>
          <c:x val="0.128580927384077"/>
          <c:y val="0.15782407407407409"/>
          <c:w val="0.8269746281714786"/>
          <c:h val="0.6153546952464275"/>
        </c:manualLayout>
      </c:layout>
      <c:lineChart>
        <c:grouping val="standard"/>
        <c:varyColors val="0"/>
        <c:ser>
          <c:idx val="1"/>
          <c:order val="0"/>
          <c:tx>
            <c:strRef>
              <c:f>'size,bubble,quick,merge,radix'!$B$1</c:f>
              <c:strCache>
                <c:ptCount val="1"/>
                <c:pt idx="0">
                  <c:v>bubble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'size,bubble,quick,merge,radix'!$A$2:$A$7</c:f>
              <c:numCache>
                <c:formatCode>General</c:formatCode>
                <c:ptCount val="6"/>
                <c:pt idx="0">
                  <c:v>10</c:v>
                </c:pt>
                <c:pt idx="1">
                  <c:v>510</c:v>
                </c:pt>
                <c:pt idx="2">
                  <c:v>1010</c:v>
                </c:pt>
                <c:pt idx="3">
                  <c:v>1510</c:v>
                </c:pt>
                <c:pt idx="4">
                  <c:v>2010</c:v>
                </c:pt>
                <c:pt idx="5">
                  <c:v>2510</c:v>
                </c:pt>
              </c:numCache>
            </c:numRef>
          </c:cat>
          <c:val>
            <c:numRef>
              <c:f>'size,bubble,quick,merge,radix'!$B$2:$B$7</c:f>
              <c:numCache>
                <c:formatCode>General</c:formatCode>
                <c:ptCount val="6"/>
                <c:pt idx="0">
                  <c:v>1306500</c:v>
                </c:pt>
                <c:pt idx="1">
                  <c:v>10359500</c:v>
                </c:pt>
                <c:pt idx="2">
                  <c:v>21113900</c:v>
                </c:pt>
                <c:pt idx="3">
                  <c:v>71077700</c:v>
                </c:pt>
                <c:pt idx="4">
                  <c:v>26001500</c:v>
                </c:pt>
                <c:pt idx="5">
                  <c:v>42002900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07-4296-B976-FFFE5773F172}"/>
            </c:ext>
          </c:extLst>
        </c:ser>
        <c:ser>
          <c:idx val="2"/>
          <c:order val="1"/>
          <c:tx>
            <c:strRef>
              <c:f>'size,bubble,quick,merge,radix'!$C$1</c:f>
              <c:strCache>
                <c:ptCount val="1"/>
                <c:pt idx="0">
                  <c:v>quick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'size,bubble,quick,merge,radix'!$A$2:$A$7</c:f>
              <c:numCache>
                <c:formatCode>General</c:formatCode>
                <c:ptCount val="6"/>
                <c:pt idx="0">
                  <c:v>10</c:v>
                </c:pt>
                <c:pt idx="1">
                  <c:v>510</c:v>
                </c:pt>
                <c:pt idx="2">
                  <c:v>1010</c:v>
                </c:pt>
                <c:pt idx="3">
                  <c:v>1510</c:v>
                </c:pt>
                <c:pt idx="4">
                  <c:v>2010</c:v>
                </c:pt>
                <c:pt idx="5">
                  <c:v>2510</c:v>
                </c:pt>
              </c:numCache>
            </c:numRef>
          </c:cat>
          <c:val>
            <c:numRef>
              <c:f>'size,bubble,quick,merge,radix'!$C$2:$C$7</c:f>
              <c:numCache>
                <c:formatCode>General</c:formatCode>
                <c:ptCount val="6"/>
                <c:pt idx="0">
                  <c:v>1229700</c:v>
                </c:pt>
                <c:pt idx="1">
                  <c:v>660400</c:v>
                </c:pt>
                <c:pt idx="2">
                  <c:v>673500</c:v>
                </c:pt>
                <c:pt idx="3">
                  <c:v>573900</c:v>
                </c:pt>
                <c:pt idx="4">
                  <c:v>3026500</c:v>
                </c:pt>
                <c:pt idx="5">
                  <c:v>4164200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207-4296-B976-FFFE5773F172}"/>
            </c:ext>
          </c:extLst>
        </c:ser>
        <c:ser>
          <c:idx val="3"/>
          <c:order val="2"/>
          <c:tx>
            <c:strRef>
              <c:f>'size,bubble,quick,merge,radix'!$D$1</c:f>
              <c:strCache>
                <c:ptCount val="1"/>
                <c:pt idx="0">
                  <c:v>merge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'size,bubble,quick,merge,radix'!$A$2:$A$7</c:f>
              <c:numCache>
                <c:formatCode>General</c:formatCode>
                <c:ptCount val="6"/>
                <c:pt idx="0">
                  <c:v>10</c:v>
                </c:pt>
                <c:pt idx="1">
                  <c:v>510</c:v>
                </c:pt>
                <c:pt idx="2">
                  <c:v>1010</c:v>
                </c:pt>
                <c:pt idx="3">
                  <c:v>1510</c:v>
                </c:pt>
                <c:pt idx="4">
                  <c:v>2010</c:v>
                </c:pt>
                <c:pt idx="5">
                  <c:v>2510</c:v>
                </c:pt>
              </c:numCache>
            </c:numRef>
          </c:cat>
          <c:val>
            <c:numRef>
              <c:f>'size,bubble,quick,merge,radix'!$D$2:$D$7</c:f>
              <c:numCache>
                <c:formatCode>General</c:formatCode>
                <c:ptCount val="6"/>
                <c:pt idx="0">
                  <c:v>1335800</c:v>
                </c:pt>
                <c:pt idx="1">
                  <c:v>1029600</c:v>
                </c:pt>
                <c:pt idx="2">
                  <c:v>737800</c:v>
                </c:pt>
                <c:pt idx="3">
                  <c:v>11337500</c:v>
                </c:pt>
                <c:pt idx="4">
                  <c:v>5160900</c:v>
                </c:pt>
                <c:pt idx="5">
                  <c:v>5855000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207-4296-B976-FFFE5773F172}"/>
            </c:ext>
          </c:extLst>
        </c:ser>
        <c:ser>
          <c:idx val="4"/>
          <c:order val="3"/>
          <c:tx>
            <c:strRef>
              <c:f>'size,bubble,quick,merge,radix'!$E$1</c:f>
              <c:strCache>
                <c:ptCount val="1"/>
                <c:pt idx="0">
                  <c:v>radix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'size,bubble,quick,merge,radix'!$A$2:$A$7</c:f>
              <c:numCache>
                <c:formatCode>General</c:formatCode>
                <c:ptCount val="6"/>
                <c:pt idx="0">
                  <c:v>10</c:v>
                </c:pt>
                <c:pt idx="1">
                  <c:v>510</c:v>
                </c:pt>
                <c:pt idx="2">
                  <c:v>1010</c:v>
                </c:pt>
                <c:pt idx="3">
                  <c:v>1510</c:v>
                </c:pt>
                <c:pt idx="4">
                  <c:v>2010</c:v>
                </c:pt>
                <c:pt idx="5">
                  <c:v>2510</c:v>
                </c:pt>
              </c:numCache>
            </c:numRef>
          </c:cat>
          <c:val>
            <c:numRef>
              <c:f>'size,bubble,quick,merge,radix'!$E$2:$E$7</c:f>
              <c:numCache>
                <c:formatCode>General</c:formatCode>
                <c:ptCount val="6"/>
                <c:pt idx="0">
                  <c:v>1445800</c:v>
                </c:pt>
                <c:pt idx="1">
                  <c:v>482100</c:v>
                </c:pt>
                <c:pt idx="2">
                  <c:v>973200</c:v>
                </c:pt>
                <c:pt idx="3">
                  <c:v>1381700</c:v>
                </c:pt>
                <c:pt idx="4">
                  <c:v>2170800</c:v>
                </c:pt>
                <c:pt idx="5">
                  <c:v>1826400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207-4296-B976-FFFE5773F172}"/>
            </c:ext>
          </c:extLst>
        </c:ser>
        <c:ser>
          <c:idx val="7"/>
          <c:order val="7"/>
          <c:tx>
            <c:strRef>
              <c:f>'size,bubble,quick,merge,radix'!$F$1</c:f>
              <c:strCache>
                <c:ptCount val="1"/>
                <c:pt idx="0">
                  <c:v>o(n^2)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'size,bubble,quick,merge,radix'!$A$2:$A$7</c:f>
              <c:numCache>
                <c:formatCode>General</c:formatCode>
                <c:ptCount val="6"/>
                <c:pt idx="0">
                  <c:v>10</c:v>
                </c:pt>
                <c:pt idx="1">
                  <c:v>510</c:v>
                </c:pt>
                <c:pt idx="2">
                  <c:v>1010</c:v>
                </c:pt>
                <c:pt idx="3">
                  <c:v>1510</c:v>
                </c:pt>
                <c:pt idx="4">
                  <c:v>2010</c:v>
                </c:pt>
                <c:pt idx="5">
                  <c:v>2510</c:v>
                </c:pt>
              </c:numCache>
            </c:numRef>
          </c:cat>
          <c:val>
            <c:numRef>
              <c:f>'size,bubble,quick,merge,radix'!$F$2:$F$7</c:f>
              <c:numCache>
                <c:formatCode>General</c:formatCode>
                <c:ptCount val="6"/>
                <c:pt idx="0">
                  <c:v>100</c:v>
                </c:pt>
                <c:pt idx="1">
                  <c:v>260100</c:v>
                </c:pt>
                <c:pt idx="2">
                  <c:v>1020100</c:v>
                </c:pt>
                <c:pt idx="3">
                  <c:v>2280100</c:v>
                </c:pt>
                <c:pt idx="4">
                  <c:v>4040100</c:v>
                </c:pt>
                <c:pt idx="5">
                  <c:v>6300100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207-4296-B976-FFFE5773F172}"/>
            </c:ext>
          </c:extLst>
        </c:ser>
        <c:ser>
          <c:idx val="8"/>
          <c:order val="8"/>
          <c:tx>
            <c:strRef>
              <c:f>'size,bubble,quick,merge,radix'!$G$1</c:f>
              <c:strCache>
                <c:ptCount val="1"/>
                <c:pt idx="0">
                  <c:v>O(n log n)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'size,bubble,quick,merge,radix'!$A$2:$A$7</c:f>
              <c:numCache>
                <c:formatCode>General</c:formatCode>
                <c:ptCount val="6"/>
                <c:pt idx="0">
                  <c:v>10</c:v>
                </c:pt>
                <c:pt idx="1">
                  <c:v>510</c:v>
                </c:pt>
                <c:pt idx="2">
                  <c:v>1010</c:v>
                </c:pt>
                <c:pt idx="3">
                  <c:v>1510</c:v>
                </c:pt>
                <c:pt idx="4">
                  <c:v>2010</c:v>
                </c:pt>
                <c:pt idx="5">
                  <c:v>2510</c:v>
                </c:pt>
              </c:numCache>
            </c:numRef>
          </c:cat>
          <c:val>
            <c:numRef>
              <c:f>'size,bubble,quick,merge,radix'!$G$2:$G$7</c:f>
              <c:numCache>
                <c:formatCode>General</c:formatCode>
                <c:ptCount val="6"/>
                <c:pt idx="0">
                  <c:v>23.025850929940461</c:v>
                </c:pt>
                <c:pt idx="1">
                  <c:v>3179.5494701163693</c:v>
                </c:pt>
                <c:pt idx="2">
                  <c:v>6986.8826659336573</c:v>
                </c:pt>
                <c:pt idx="3">
                  <c:v>11052.996044011545</c:v>
                </c:pt>
                <c:pt idx="4">
                  <c:v>15287.838902116775</c:v>
                </c:pt>
                <c:pt idx="5">
                  <c:v>19648.375460635831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207-4296-B976-FFFE5773F172}"/>
            </c:ext>
          </c:extLst>
        </c:ser>
        <c:ser>
          <c:idx val="9"/>
          <c:order val="9"/>
          <c:tx>
            <c:strRef>
              <c:f>'size,bubble,quick,merge,radix'!$H$1</c:f>
              <c:strCache>
                <c:ptCount val="1"/>
                <c:pt idx="0">
                  <c:v>O(n)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'size,bubble,quick,merge,radix'!$A$2:$A$7</c:f>
              <c:numCache>
                <c:formatCode>General</c:formatCode>
                <c:ptCount val="6"/>
                <c:pt idx="0">
                  <c:v>10</c:v>
                </c:pt>
                <c:pt idx="1">
                  <c:v>510</c:v>
                </c:pt>
                <c:pt idx="2">
                  <c:v>1010</c:v>
                </c:pt>
                <c:pt idx="3">
                  <c:v>1510</c:v>
                </c:pt>
                <c:pt idx="4">
                  <c:v>2010</c:v>
                </c:pt>
                <c:pt idx="5">
                  <c:v>2510</c:v>
                </c:pt>
              </c:numCache>
            </c:numRef>
          </c:cat>
          <c:val>
            <c:numRef>
              <c:f>'size,bubble,quick,merge,radix'!$H$2:$H$7</c:f>
              <c:numCache>
                <c:formatCode>General</c:formatCode>
                <c:ptCount val="6"/>
                <c:pt idx="0">
                  <c:v>10</c:v>
                </c:pt>
                <c:pt idx="1">
                  <c:v>510</c:v>
                </c:pt>
                <c:pt idx="2">
                  <c:v>1010</c:v>
                </c:pt>
                <c:pt idx="3">
                  <c:v>1510</c:v>
                </c:pt>
                <c:pt idx="4">
                  <c:v>2010</c:v>
                </c:pt>
                <c:pt idx="5">
                  <c:v>2510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207-4296-B976-FFFE5773F1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6822912"/>
        <c:axId val="1896826272"/>
        <c:extLst>
          <c:ext xmlns:c15="http://schemas.microsoft.com/office/drawing/2012/chart" uri="{02D57815-91ED-43cb-92C2-25804820EDAC}">
            <c15:filteredLineSeries>
              <c15:ser>
                <c:idx val="0"/>
                <c:order val="4"/>
                <c:tx>
                  <c:strRef>
                    <c:extLst>
                      <c:ext uri="{02D57815-91ED-43cb-92C2-25804820EDAC}">
                        <c15:formulaRef>
                          <c15:sqref>'size,bubble,quick,merge,radix'!$F$1</c15:sqref>
                        </c15:formulaRef>
                      </c:ext>
                    </c:extLst>
                    <c:strCache>
                      <c:ptCount val="1"/>
                      <c:pt idx="0">
                        <c:v>o(n^2)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'size,bubble,quick,merge,radix'!$A$2:$A$7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10</c:v>
                      </c:pt>
                      <c:pt idx="1">
                        <c:v>510</c:v>
                      </c:pt>
                      <c:pt idx="2">
                        <c:v>1010</c:v>
                      </c:pt>
                      <c:pt idx="3">
                        <c:v>1510</c:v>
                      </c:pt>
                      <c:pt idx="4">
                        <c:v>2010</c:v>
                      </c:pt>
                      <c:pt idx="5">
                        <c:v>2510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'size,bubble,quick,merge,radix'!$F$2:$F$7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100</c:v>
                      </c:pt>
                      <c:pt idx="1">
                        <c:v>260100</c:v>
                      </c:pt>
                      <c:pt idx="2">
                        <c:v>1020100</c:v>
                      </c:pt>
                      <c:pt idx="3">
                        <c:v>2280100</c:v>
                      </c:pt>
                      <c:pt idx="4">
                        <c:v>4040100</c:v>
                      </c:pt>
                      <c:pt idx="5">
                        <c:v>6300100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2207-4296-B976-FFFE5773F172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'size,bubble,quick,merge,radix'!$G$1</c15:sqref>
                        </c15:formulaRef>
                      </c:ext>
                    </c:extLst>
                    <c:strCache>
                      <c:ptCount val="1"/>
                      <c:pt idx="0">
                        <c:v>O(n log n)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'size,bubble,quick,merge,radix'!$A$2:$A$7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10</c:v>
                      </c:pt>
                      <c:pt idx="1">
                        <c:v>510</c:v>
                      </c:pt>
                      <c:pt idx="2">
                        <c:v>1010</c:v>
                      </c:pt>
                      <c:pt idx="3">
                        <c:v>1510</c:v>
                      </c:pt>
                      <c:pt idx="4">
                        <c:v>2010</c:v>
                      </c:pt>
                      <c:pt idx="5">
                        <c:v>2510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'size,bubble,quick,merge,radix'!$G$2:$G$7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23.025850929940461</c:v>
                      </c:pt>
                      <c:pt idx="1">
                        <c:v>3179.5494701163693</c:v>
                      </c:pt>
                      <c:pt idx="2">
                        <c:v>6986.8826659336573</c:v>
                      </c:pt>
                      <c:pt idx="3">
                        <c:v>11052.996044011545</c:v>
                      </c:pt>
                      <c:pt idx="4">
                        <c:v>15287.838902116775</c:v>
                      </c:pt>
                      <c:pt idx="5">
                        <c:v>19648.375460635831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8-2207-4296-B976-FFFE5773F172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'size,bubble,quick,merge,radix'!$H$1</c15:sqref>
                        </c15:formulaRef>
                      </c:ext>
                    </c:extLst>
                    <c:strCache>
                      <c:ptCount val="1"/>
                      <c:pt idx="0">
                        <c:v>O(n)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'size,bubble,quick,merge,radix'!$A$2:$A$7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10</c:v>
                      </c:pt>
                      <c:pt idx="1">
                        <c:v>510</c:v>
                      </c:pt>
                      <c:pt idx="2">
                        <c:v>1010</c:v>
                      </c:pt>
                      <c:pt idx="3">
                        <c:v>1510</c:v>
                      </c:pt>
                      <c:pt idx="4">
                        <c:v>2010</c:v>
                      </c:pt>
                      <c:pt idx="5">
                        <c:v>2510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'size,bubble,quick,merge,radix'!$H$2:$H$7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10</c:v>
                      </c:pt>
                      <c:pt idx="1">
                        <c:v>510</c:v>
                      </c:pt>
                      <c:pt idx="2">
                        <c:v>1010</c:v>
                      </c:pt>
                      <c:pt idx="3">
                        <c:v>1510</c:v>
                      </c:pt>
                      <c:pt idx="4">
                        <c:v>2010</c:v>
                      </c:pt>
                      <c:pt idx="5">
                        <c:v>2510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9-2207-4296-B976-FFFE5773F172}"/>
                  </c:ext>
                </c:extLst>
              </c15:ser>
            </c15:filteredLineSeries>
          </c:ext>
        </c:extLst>
      </c:lineChart>
      <c:catAx>
        <c:axId val="18968229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GT"/>
                  <a:t>Tamaño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G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1896826272"/>
        <c:crosses val="autoZero"/>
        <c:auto val="1"/>
        <c:lblAlgn val="ctr"/>
        <c:lblOffset val="100"/>
        <c:noMultiLvlLbl val="0"/>
      </c:catAx>
      <c:valAx>
        <c:axId val="1896826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GT"/>
                  <a:t>Tiempo</a:t>
                </a:r>
                <a:r>
                  <a:rPr lang="es-GT" baseline="0"/>
                  <a:t> (n/s)</a:t>
                </a:r>
                <a:endParaRPr lang="es-G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G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1896822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G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G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GT"/>
              <a:t>Ordenados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GT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'size,bubble,quick,merge,radix'!$B$9</c:f>
              <c:strCache>
                <c:ptCount val="1"/>
                <c:pt idx="0">
                  <c:v>bubble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'size,bubble,quick,merge,radix'!$A$10:$A$15</c:f>
              <c:numCache>
                <c:formatCode>General</c:formatCode>
                <c:ptCount val="6"/>
                <c:pt idx="0">
                  <c:v>10</c:v>
                </c:pt>
                <c:pt idx="1">
                  <c:v>510</c:v>
                </c:pt>
                <c:pt idx="2">
                  <c:v>1010</c:v>
                </c:pt>
                <c:pt idx="3">
                  <c:v>1510</c:v>
                </c:pt>
                <c:pt idx="4">
                  <c:v>2010</c:v>
                </c:pt>
                <c:pt idx="5">
                  <c:v>2510</c:v>
                </c:pt>
              </c:numCache>
            </c:numRef>
          </c:cat>
          <c:val>
            <c:numRef>
              <c:f>'size,bubble,quick,merge,radix'!$B$10:$B$15</c:f>
              <c:numCache>
                <c:formatCode>General</c:formatCode>
                <c:ptCount val="6"/>
                <c:pt idx="0">
                  <c:v>159300</c:v>
                </c:pt>
                <c:pt idx="1">
                  <c:v>794100</c:v>
                </c:pt>
                <c:pt idx="2">
                  <c:v>2509600</c:v>
                </c:pt>
                <c:pt idx="3">
                  <c:v>3852000</c:v>
                </c:pt>
                <c:pt idx="4">
                  <c:v>6505000</c:v>
                </c:pt>
                <c:pt idx="5">
                  <c:v>10479500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D5-42B3-811F-0A63A5057388}"/>
            </c:ext>
          </c:extLst>
        </c:ser>
        <c:ser>
          <c:idx val="2"/>
          <c:order val="2"/>
          <c:tx>
            <c:strRef>
              <c:f>'size,bubble,quick,merge,radix'!$C$9</c:f>
              <c:strCache>
                <c:ptCount val="1"/>
                <c:pt idx="0">
                  <c:v>quick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'size,bubble,quick,merge,radix'!$A$10:$A$15</c:f>
              <c:numCache>
                <c:formatCode>General</c:formatCode>
                <c:ptCount val="6"/>
                <c:pt idx="0">
                  <c:v>10</c:v>
                </c:pt>
                <c:pt idx="1">
                  <c:v>510</c:v>
                </c:pt>
                <c:pt idx="2">
                  <c:v>1010</c:v>
                </c:pt>
                <c:pt idx="3">
                  <c:v>1510</c:v>
                </c:pt>
                <c:pt idx="4">
                  <c:v>2010</c:v>
                </c:pt>
                <c:pt idx="5">
                  <c:v>2510</c:v>
                </c:pt>
              </c:numCache>
            </c:numRef>
          </c:cat>
          <c:val>
            <c:numRef>
              <c:f>'size,bubble,quick,merge,radix'!$C$10:$C$15</c:f>
              <c:numCache>
                <c:formatCode>General</c:formatCode>
                <c:ptCount val="6"/>
                <c:pt idx="0">
                  <c:v>14400</c:v>
                </c:pt>
                <c:pt idx="1">
                  <c:v>14794000</c:v>
                </c:pt>
                <c:pt idx="2">
                  <c:v>61067200</c:v>
                </c:pt>
                <c:pt idx="3">
                  <c:v>107254800</c:v>
                </c:pt>
                <c:pt idx="4">
                  <c:v>19204800</c:v>
                </c:pt>
                <c:pt idx="5">
                  <c:v>52750300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9D5-42B3-811F-0A63A5057388}"/>
            </c:ext>
          </c:extLst>
        </c:ser>
        <c:ser>
          <c:idx val="3"/>
          <c:order val="3"/>
          <c:tx>
            <c:strRef>
              <c:f>'size,bubble,quick,merge,radix'!$D$9</c:f>
              <c:strCache>
                <c:ptCount val="1"/>
                <c:pt idx="0">
                  <c:v>merge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'size,bubble,quick,merge,radix'!$A$10:$A$15</c:f>
              <c:numCache>
                <c:formatCode>General</c:formatCode>
                <c:ptCount val="6"/>
                <c:pt idx="0">
                  <c:v>10</c:v>
                </c:pt>
                <c:pt idx="1">
                  <c:v>510</c:v>
                </c:pt>
                <c:pt idx="2">
                  <c:v>1010</c:v>
                </c:pt>
                <c:pt idx="3">
                  <c:v>1510</c:v>
                </c:pt>
                <c:pt idx="4">
                  <c:v>2010</c:v>
                </c:pt>
                <c:pt idx="5">
                  <c:v>2510</c:v>
                </c:pt>
              </c:numCache>
            </c:numRef>
          </c:cat>
          <c:val>
            <c:numRef>
              <c:f>'size,bubble,quick,merge,radix'!$D$10:$D$15</c:f>
              <c:numCache>
                <c:formatCode>General</c:formatCode>
                <c:ptCount val="6"/>
                <c:pt idx="0">
                  <c:v>9700</c:v>
                </c:pt>
                <c:pt idx="1">
                  <c:v>718500</c:v>
                </c:pt>
                <c:pt idx="2">
                  <c:v>1932300</c:v>
                </c:pt>
                <c:pt idx="3">
                  <c:v>2885900</c:v>
                </c:pt>
                <c:pt idx="4">
                  <c:v>3865300</c:v>
                </c:pt>
                <c:pt idx="5">
                  <c:v>2636100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9D5-42B3-811F-0A63A5057388}"/>
            </c:ext>
          </c:extLst>
        </c:ser>
        <c:ser>
          <c:idx val="4"/>
          <c:order val="4"/>
          <c:tx>
            <c:strRef>
              <c:f>'size,bubble,quick,merge,radix'!$E$9</c:f>
              <c:strCache>
                <c:ptCount val="1"/>
                <c:pt idx="0">
                  <c:v>radix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'size,bubble,quick,merge,radix'!$A$10:$A$15</c:f>
              <c:numCache>
                <c:formatCode>General</c:formatCode>
                <c:ptCount val="6"/>
                <c:pt idx="0">
                  <c:v>10</c:v>
                </c:pt>
                <c:pt idx="1">
                  <c:v>510</c:v>
                </c:pt>
                <c:pt idx="2">
                  <c:v>1010</c:v>
                </c:pt>
                <c:pt idx="3">
                  <c:v>1510</c:v>
                </c:pt>
                <c:pt idx="4">
                  <c:v>2010</c:v>
                </c:pt>
                <c:pt idx="5">
                  <c:v>2510</c:v>
                </c:pt>
              </c:numCache>
            </c:numRef>
          </c:cat>
          <c:val>
            <c:numRef>
              <c:f>'size,bubble,quick,merge,radix'!$E$10:$E$15</c:f>
              <c:numCache>
                <c:formatCode>General</c:formatCode>
                <c:ptCount val="6"/>
                <c:pt idx="0">
                  <c:v>17400</c:v>
                </c:pt>
                <c:pt idx="1">
                  <c:v>405600</c:v>
                </c:pt>
                <c:pt idx="2">
                  <c:v>252900</c:v>
                </c:pt>
                <c:pt idx="3">
                  <c:v>406200</c:v>
                </c:pt>
                <c:pt idx="4">
                  <c:v>563900</c:v>
                </c:pt>
                <c:pt idx="5">
                  <c:v>718800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9D5-42B3-811F-0A63A50573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249599"/>
        <c:axId val="143250079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'size,bubble,quick,merge,radix'!$A$9</c15:sqref>
                        </c15:formulaRef>
                      </c:ext>
                    </c:extLst>
                    <c:strCache>
                      <c:ptCount val="1"/>
                      <c:pt idx="0">
                        <c:v>size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'size,bubble,quick,merge,radix'!$A$10:$A$15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10</c:v>
                      </c:pt>
                      <c:pt idx="1">
                        <c:v>510</c:v>
                      </c:pt>
                      <c:pt idx="2">
                        <c:v>1010</c:v>
                      </c:pt>
                      <c:pt idx="3">
                        <c:v>1510</c:v>
                      </c:pt>
                      <c:pt idx="4">
                        <c:v>2010</c:v>
                      </c:pt>
                      <c:pt idx="5">
                        <c:v>2510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'size,bubble,quick,merge,radix'!$A$10:$A$15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10</c:v>
                      </c:pt>
                      <c:pt idx="1">
                        <c:v>510</c:v>
                      </c:pt>
                      <c:pt idx="2">
                        <c:v>1010</c:v>
                      </c:pt>
                      <c:pt idx="3">
                        <c:v>1510</c:v>
                      </c:pt>
                      <c:pt idx="4">
                        <c:v>2010</c:v>
                      </c:pt>
                      <c:pt idx="5">
                        <c:v>2510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19D5-42B3-811F-0A63A5057388}"/>
                  </c:ext>
                </c:extLst>
              </c15:ser>
            </c15:filteredLineSeries>
          </c:ext>
        </c:extLst>
      </c:lineChart>
      <c:catAx>
        <c:axId val="143249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GT"/>
                  <a:t>Tamaño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G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143250079"/>
        <c:crosses val="autoZero"/>
        <c:auto val="1"/>
        <c:lblAlgn val="ctr"/>
        <c:lblOffset val="100"/>
        <c:noMultiLvlLbl val="0"/>
      </c:catAx>
      <c:valAx>
        <c:axId val="143250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GT"/>
                  <a:t> Tiempo</a:t>
                </a:r>
                <a:r>
                  <a:rPr lang="es-GT" baseline="0"/>
                  <a:t> (n/s)</a:t>
                </a:r>
                <a:endParaRPr lang="es-G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G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143249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G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G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419099</xdr:colOff>
      <xdr:row>0</xdr:row>
      <xdr:rowOff>33337</xdr:rowOff>
    </xdr:from>
    <xdr:to>
      <xdr:col>16</xdr:col>
      <xdr:colOff>180974</xdr:colOff>
      <xdr:row>14</xdr:row>
      <xdr:rowOff>109537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C28E1E3-1726-B3FC-031D-44D2C47AA2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600074</xdr:colOff>
      <xdr:row>16</xdr:row>
      <xdr:rowOff>23812</xdr:rowOff>
    </xdr:from>
    <xdr:to>
      <xdr:col>13</xdr:col>
      <xdr:colOff>552449</xdr:colOff>
      <xdr:row>30</xdr:row>
      <xdr:rowOff>100012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0527069-12CF-F2E4-EEB1-4DF8CC8252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314325</xdr:colOff>
      <xdr:row>17</xdr:row>
      <xdr:rowOff>28575</xdr:rowOff>
    </xdr:from>
    <xdr:to>
      <xdr:col>20</xdr:col>
      <xdr:colOff>723900</xdr:colOff>
      <xdr:row>22</xdr:row>
      <xdr:rowOff>114300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6FD4DD8A-B4B1-E977-6C17-70DB912D24BE}"/>
            </a:ext>
          </a:extLst>
        </xdr:cNvPr>
        <xdr:cNvSpPr txBox="1"/>
      </xdr:nvSpPr>
      <xdr:spPr>
        <a:xfrm>
          <a:off x="9944100" y="3267075"/>
          <a:ext cx="4981575" cy="1038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GT" sz="1100"/>
            <a:t>Los resultados experimentales coinciden con la teoría de complejidad temporal. BubbleSort mostró crecimiento cuadrático O(n²), mientras que QuickSort y MergeSort presentaron crecimiento O(n log n). RadixSort mostró comportamiento cercano a O(n). Los datos obtenidos mediante Java Flight Recorder confirman estas observaciones.</a:t>
          </a:r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D36D754B-0D69-4714-97CB-501FF815534F}" autoFormatId="16" applyNumberFormats="0" applyBorderFormats="0" applyFontFormats="0" applyPatternFormats="0" applyAlignmentFormats="0" applyWidthHeightFormats="0">
  <queryTableRefresh nextId="9" unboundColumnsRight="3">
    <queryTableFields count="8">
      <queryTableField id="1" name="size" tableColumnId="1"/>
      <queryTableField id="2" name="bubble" tableColumnId="2"/>
      <queryTableField id="3" name="quick" tableColumnId="3"/>
      <queryTableField id="4" name="merge" tableColumnId="4"/>
      <queryTableField id="5" name="radix" tableColumnId="5"/>
      <queryTableField id="6" dataBound="0" tableColumnId="6"/>
      <queryTableField id="7" dataBound="0" tableColumnId="7"/>
      <queryTableField id="8" dataBound="0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3" xr16:uid="{71E26C1C-3E08-4AD5-823A-F73628AFF1AD}" autoFormatId="16" applyNumberFormats="0" applyBorderFormats="0" applyFontFormats="0" applyPatternFormats="0" applyAlignmentFormats="0" applyWidthHeightFormats="0">
  <queryTableRefresh nextId="9" unboundColumnsRight="3">
    <queryTableFields count="8">
      <queryTableField id="1" name="size" tableColumnId="1"/>
      <queryTableField id="2" name="bubble" tableColumnId="2"/>
      <queryTableField id="3" name="quick" tableColumnId="3"/>
      <queryTableField id="4" name="merge" tableColumnId="4"/>
      <queryTableField id="5" name="radix" tableColumnId="5"/>
      <queryTableField id="6" dataBound="0" tableColumnId="6"/>
      <queryTableField id="7" dataBound="0" tableColumnId="7"/>
      <queryTableField id="8" dataBound="0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5A1D67-01C9-437B-8C74-B6A0190A21C0}" name="size_bubble_quick_merge_radix" displayName="size_bubble_quick_merge_radix" ref="A1:H7" tableType="queryTable" totalsRowShown="0">
  <autoFilter ref="A1:H7" xr:uid="{AF5A1D67-01C9-437B-8C74-B6A0190A21C0}"/>
  <tableColumns count="8">
    <tableColumn id="1" xr3:uid="{6D1A4666-280B-4FAB-9ED3-333531641272}" uniqueName="1" name="size" queryTableFieldId="1"/>
    <tableColumn id="2" xr3:uid="{E5FE4273-5A80-47C3-B63D-FF930087CBDC}" uniqueName="2" name="bubble" queryTableFieldId="2"/>
    <tableColumn id="3" xr3:uid="{0CE209B1-D4EB-4E6E-9A97-BB2062EF9BFE}" uniqueName="3" name="quick" queryTableFieldId="3"/>
    <tableColumn id="4" xr3:uid="{FB5E4CA9-AD56-4B47-8DF3-8ECE2E26FFA3}" uniqueName="4" name="merge" queryTableFieldId="4"/>
    <tableColumn id="5" xr3:uid="{5723596A-A8B8-42E7-AEED-ADF68F485697}" uniqueName="5" name="radix" queryTableFieldId="5"/>
    <tableColumn id="6" xr3:uid="{3DA43EAE-1172-409B-959B-ED5FF55D2F6B}" uniqueName="6" name="o(n^2)" queryTableFieldId="6" dataDxfId="2">
      <calculatedColumnFormula>size_bubble_quick_merge_radix[[#This Row],[size]]^2</calculatedColumnFormula>
    </tableColumn>
    <tableColumn id="7" xr3:uid="{EB9B9180-4606-49D2-A26F-A3AD72CECCBA}" uniqueName="7" name="O(n log n)" queryTableFieldId="7" dataDxfId="1">
      <calculatedColumnFormula>size_bubble_quick_merge_radix[[#This Row],[size]]*LN(size_bubble_quick_merge_radix[[#This Row],[size]])</calculatedColumnFormula>
    </tableColumn>
    <tableColumn id="8" xr3:uid="{1B0DE2CE-A21A-4580-BDFF-08B4DA251BD7}" uniqueName="8" name="O(n)" queryTableFieldId="8" dataDxfId="0">
      <calculatedColumnFormula>size_bubble_quick_merge_radix[[#This Row],[size]]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07A9A4C-7269-4CC0-9A76-45C4BD7995C8}" name="size_bubble_quick_merge_radix__24" displayName="size_bubble_quick_merge_radix__24" ref="A9:H15" tableType="queryTable" totalsRowShown="0">
  <autoFilter ref="A9:H15" xr:uid="{F07A9A4C-7269-4CC0-9A76-45C4BD7995C8}"/>
  <tableColumns count="8">
    <tableColumn id="1" xr3:uid="{DCD72BEE-D98F-492E-BE44-ADB6A6BCD457}" uniqueName="1" name="size" queryTableFieldId="1"/>
    <tableColumn id="2" xr3:uid="{C44D1437-4A66-40F8-8717-0F7AE2FE777F}" uniqueName="2" name="bubble" queryTableFieldId="2"/>
    <tableColumn id="3" xr3:uid="{1FC7E15A-07CB-47EC-99B3-63D4D5D90866}" uniqueName="3" name="quick" queryTableFieldId="3"/>
    <tableColumn id="4" xr3:uid="{1F2ABB4C-112B-4E37-9F1E-373F2C444C68}" uniqueName="4" name="merge" queryTableFieldId="4"/>
    <tableColumn id="5" xr3:uid="{D840E1FB-58C2-4B5B-9FDE-8AE1EFDEE400}" uniqueName="5" name="radix" queryTableFieldId="5"/>
    <tableColumn id="6" xr3:uid="{8A3A2BB0-DF66-4357-B18C-D48A6FD9B1D7}" uniqueName="6" name="o(n^2)" queryTableFieldId="6"/>
    <tableColumn id="7" xr3:uid="{267FAC0D-7A35-461B-93A3-1925D45FBF4F}" uniqueName="7" name="O(n log n)" queryTableFieldId="7"/>
    <tableColumn id="8" xr3:uid="{CE9CD039-B8CE-4153-A16E-C1BD9227B727}" uniqueName="8" name="O(n)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8DD08-FB18-4B25-9748-B4EF07BA8F70}">
  <dimension ref="A1:H15"/>
  <sheetViews>
    <sheetView tabSelected="1" workbookViewId="0">
      <selection activeCell="E19" sqref="E19"/>
    </sheetView>
  </sheetViews>
  <sheetFormatPr baseColWidth="10" defaultRowHeight="15" x14ac:dyDescent="0.25"/>
  <cols>
    <col min="1" max="1" width="6.85546875" bestFit="1" customWidth="1"/>
    <col min="2" max="2" width="9.5703125" bestFit="1" customWidth="1"/>
    <col min="3" max="3" width="8.140625" bestFit="1" customWidth="1"/>
    <col min="4" max="4" width="9" bestFit="1" customWidth="1"/>
    <col min="5" max="5" width="8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10</v>
      </c>
      <c r="B2">
        <v>1306500</v>
      </c>
      <c r="C2">
        <v>1229700</v>
      </c>
      <c r="D2">
        <v>1335800</v>
      </c>
      <c r="E2">
        <v>1445800</v>
      </c>
      <c r="F2">
        <f>size_bubble_quick_merge_radix[[#This Row],[size]]^2</f>
        <v>100</v>
      </c>
      <c r="G2">
        <f>size_bubble_quick_merge_radix[[#This Row],[size]]*LN(size_bubble_quick_merge_radix[[#This Row],[size]])</f>
        <v>23.025850929940461</v>
      </c>
      <c r="H2">
        <f>size_bubble_quick_merge_radix[[#This Row],[size]]</f>
        <v>10</v>
      </c>
    </row>
    <row r="3" spans="1:8" x14ac:dyDescent="0.25">
      <c r="A3">
        <v>510</v>
      </c>
      <c r="B3">
        <v>10359500</v>
      </c>
      <c r="C3">
        <v>660400</v>
      </c>
      <c r="D3">
        <v>1029600</v>
      </c>
      <c r="E3">
        <v>482100</v>
      </c>
      <c r="F3">
        <f>size_bubble_quick_merge_radix[[#This Row],[size]]^2</f>
        <v>260100</v>
      </c>
      <c r="G3">
        <f>size_bubble_quick_merge_radix[[#This Row],[size]]*LN(size_bubble_quick_merge_radix[[#This Row],[size]])</f>
        <v>3179.5494701163693</v>
      </c>
      <c r="H3">
        <f>size_bubble_quick_merge_radix[[#This Row],[size]]</f>
        <v>510</v>
      </c>
    </row>
    <row r="4" spans="1:8" x14ac:dyDescent="0.25">
      <c r="A4">
        <v>1010</v>
      </c>
      <c r="B4">
        <v>21113900</v>
      </c>
      <c r="C4">
        <v>673500</v>
      </c>
      <c r="D4">
        <v>737800</v>
      </c>
      <c r="E4">
        <v>973200</v>
      </c>
      <c r="F4">
        <f>size_bubble_quick_merge_radix[[#This Row],[size]]^2</f>
        <v>1020100</v>
      </c>
      <c r="G4">
        <f>size_bubble_quick_merge_radix[[#This Row],[size]]*LN(size_bubble_quick_merge_radix[[#This Row],[size]])</f>
        <v>6986.8826659336573</v>
      </c>
      <c r="H4">
        <f>size_bubble_quick_merge_radix[[#This Row],[size]]</f>
        <v>1010</v>
      </c>
    </row>
    <row r="5" spans="1:8" x14ac:dyDescent="0.25">
      <c r="A5">
        <v>1510</v>
      </c>
      <c r="B5">
        <v>71077700</v>
      </c>
      <c r="C5">
        <v>573900</v>
      </c>
      <c r="D5">
        <v>11337500</v>
      </c>
      <c r="E5">
        <v>1381700</v>
      </c>
      <c r="F5">
        <f>size_bubble_quick_merge_radix[[#This Row],[size]]^2</f>
        <v>2280100</v>
      </c>
      <c r="G5">
        <f>size_bubble_quick_merge_radix[[#This Row],[size]]*LN(size_bubble_quick_merge_radix[[#This Row],[size]])</f>
        <v>11052.996044011545</v>
      </c>
      <c r="H5">
        <f>size_bubble_quick_merge_radix[[#This Row],[size]]</f>
        <v>1510</v>
      </c>
    </row>
    <row r="6" spans="1:8" x14ac:dyDescent="0.25">
      <c r="A6">
        <v>2010</v>
      </c>
      <c r="B6">
        <v>26001500</v>
      </c>
      <c r="C6">
        <v>3026500</v>
      </c>
      <c r="D6">
        <v>5160900</v>
      </c>
      <c r="E6">
        <v>2170800</v>
      </c>
      <c r="F6">
        <f>size_bubble_quick_merge_radix[[#This Row],[size]]^2</f>
        <v>4040100</v>
      </c>
      <c r="G6">
        <f>size_bubble_quick_merge_radix[[#This Row],[size]]*LN(size_bubble_quick_merge_radix[[#This Row],[size]])</f>
        <v>15287.838902116775</v>
      </c>
      <c r="H6">
        <f>size_bubble_quick_merge_radix[[#This Row],[size]]</f>
        <v>2010</v>
      </c>
    </row>
    <row r="7" spans="1:8" x14ac:dyDescent="0.25">
      <c r="A7">
        <v>2510</v>
      </c>
      <c r="B7">
        <v>42002900</v>
      </c>
      <c r="C7">
        <v>4164200</v>
      </c>
      <c r="D7">
        <v>5855000</v>
      </c>
      <c r="E7">
        <v>1826400</v>
      </c>
      <c r="F7">
        <f>size_bubble_quick_merge_radix[[#This Row],[size]]^2</f>
        <v>6300100</v>
      </c>
      <c r="G7">
        <f>size_bubble_quick_merge_radix[[#This Row],[size]]*LN(size_bubble_quick_merge_radix[[#This Row],[size]])</f>
        <v>19648.375460635831</v>
      </c>
      <c r="H7">
        <f>size_bubble_quick_merge_radix[[#This Row],[size]]</f>
        <v>2510</v>
      </c>
    </row>
    <row r="9" spans="1:8" x14ac:dyDescent="0.25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t="s">
        <v>7</v>
      </c>
    </row>
    <row r="10" spans="1:8" x14ac:dyDescent="0.25">
      <c r="A10">
        <v>10</v>
      </c>
      <c r="B10">
        <v>159300</v>
      </c>
      <c r="C10">
        <v>14400</v>
      </c>
      <c r="D10">
        <v>9700</v>
      </c>
      <c r="E10">
        <v>17400</v>
      </c>
      <c r="F10">
        <v>100</v>
      </c>
      <c r="G10">
        <v>23.025850929940461</v>
      </c>
      <c r="H10">
        <v>10</v>
      </c>
    </row>
    <row r="11" spans="1:8" x14ac:dyDescent="0.25">
      <c r="A11">
        <v>510</v>
      </c>
      <c r="B11">
        <v>794100</v>
      </c>
      <c r="C11">
        <v>14794000</v>
      </c>
      <c r="D11">
        <v>718500</v>
      </c>
      <c r="E11">
        <v>405600</v>
      </c>
      <c r="F11">
        <v>260100</v>
      </c>
      <c r="G11">
        <v>3179.5494701163693</v>
      </c>
      <c r="H11">
        <v>510</v>
      </c>
    </row>
    <row r="12" spans="1:8" x14ac:dyDescent="0.25">
      <c r="A12">
        <v>1010</v>
      </c>
      <c r="B12">
        <v>2509600</v>
      </c>
      <c r="C12">
        <v>61067200</v>
      </c>
      <c r="D12">
        <v>1932300</v>
      </c>
      <c r="E12">
        <v>252900</v>
      </c>
      <c r="F12">
        <v>1020100</v>
      </c>
      <c r="G12">
        <v>6986.8826659336573</v>
      </c>
      <c r="H12">
        <v>1010</v>
      </c>
    </row>
    <row r="13" spans="1:8" x14ac:dyDescent="0.25">
      <c r="A13">
        <v>1510</v>
      </c>
      <c r="B13">
        <v>3852000</v>
      </c>
      <c r="C13">
        <v>107254800</v>
      </c>
      <c r="D13">
        <v>2885900</v>
      </c>
      <c r="E13">
        <v>406200</v>
      </c>
      <c r="F13">
        <v>2280100</v>
      </c>
      <c r="G13">
        <v>11052.996044011545</v>
      </c>
      <c r="H13">
        <v>1510</v>
      </c>
    </row>
    <row r="14" spans="1:8" x14ac:dyDescent="0.25">
      <c r="A14">
        <v>2010</v>
      </c>
      <c r="B14">
        <v>6505000</v>
      </c>
      <c r="C14">
        <v>19204800</v>
      </c>
      <c r="D14">
        <v>3865300</v>
      </c>
      <c r="E14">
        <v>563900</v>
      </c>
      <c r="F14">
        <v>4040100</v>
      </c>
      <c r="G14">
        <v>15287.838902116775</v>
      </c>
      <c r="H14">
        <v>2010</v>
      </c>
    </row>
    <row r="15" spans="1:8" x14ac:dyDescent="0.25">
      <c r="A15">
        <v>2510</v>
      </c>
      <c r="B15">
        <v>10479500</v>
      </c>
      <c r="C15">
        <v>52750300</v>
      </c>
      <c r="D15">
        <v>2636100</v>
      </c>
      <c r="E15">
        <v>718800</v>
      </c>
      <c r="F15">
        <v>6300100</v>
      </c>
      <c r="G15">
        <v>19648.375460635831</v>
      </c>
      <c r="H15">
        <v>2510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B515EA5-D0EC-42CB-9480-27F6C5393FB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size,bubble,quick,merge,radix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Leal</dc:creator>
  <cp:lastModifiedBy>Daniel Leal</cp:lastModifiedBy>
  <dcterms:created xsi:type="dcterms:W3CDTF">2026-02-14T05:52:47Z</dcterms:created>
  <dcterms:modified xsi:type="dcterms:W3CDTF">2026-02-14T06:22:58Z</dcterms:modified>
</cp:coreProperties>
</file>